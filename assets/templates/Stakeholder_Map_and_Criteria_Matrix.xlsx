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Map" sheetId="1" state="visible" r:id="rId3"/>
    <sheet name="Decision Criteria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<sst xmlns="http://schemas.openxmlformats.org/spreadsheetml/2006/main" count="28" uniqueCount="28">
  <si>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Stakeholder</t>
  </si>
  <si>
    <t xml:space="preserve">Interest</t>
  </si>
  <si>
    <t xml:space="preserve">Influence (H/M/L)</t>
  </si>
  <si>
    <t xml:space="preserve">What they stand to gain / lose</t>
  </si>
  <si>
    <t xml:space="preserve">How they'll be engaged</t>
  </si>
  <si>
    <t xml:space="preserve">Neighborhood residents (example row)</t>
  </si>
  <si>
    <t xml:space="preserve">Safety, property values, quality of life near the project site</t>
  </si>
  <si>
    <t xml:space="preserve">H</t>
  </si>
  <si>
    <t xml:space="preserve">Gain: improved safety/access. Lose: possible construction disruption or parking loss.</t>
  </si>
  <si>
    <t xml:space="preserve">Public meeting, online comment map, door-to-door notice</t>
  </si>
  <si>
    <t xml:space="preserve">Decision Criteria Matrix</t>
  </si>
  <si>
    <t xml:space="preserve">Enter a weight (as a %) for each criterion so the weights sum to 100%. Enter a raw score (1-5) for each alternative; weighted scores and totals calculate automatically. Blue cells are for your input.</t>
  </si>
  <si>
    <t xml:space="preserve">Criteria</t>
  </si>
  <si>
    <t xml:space="preserve">Weight</t>
  </si>
  <si>
    <t xml:space="preserve">Alt A: Score (1-5)</t>
  </si>
  <si>
    <t xml:space="preserve">Alt A: Weighted</t>
  </si>
  <si>
    <t xml:space="preserve">Alt B: Score (1-5)</t>
  </si>
  <si>
    <t xml:space="preserve">Alt B: Weighted</t>
  </si>
  <si>
    <t xml:space="preserve">Alt C: Score (1-5)</t>
  </si>
  <si>
    <t xml:space="preserve">Alt C: Weighted</t>
  </si>
  <si>
    <t xml:space="preserve">Equity</t>
  </si>
  <si>
    <t xml:space="preserve">Cost</t>
  </si>
  <si>
    <t xml:space="preserve">Mobility</t>
  </si>
  <si>
    <t xml:space="preserve">Environment</t>
  </si>
  <si>
    <t xml:space="preserve">Feasibility</t>
  </si>
  <si>
    <t xml:space="preserve">Total</t>
  </si>
  <si>
    <t xml:space="preserve">Weight check:</t>
  </si>
  <si>
    <t xml:space="preserve">Legend: blue = enter your own values (weights and scores). Black = calculated automatically — do not overwrite. Two blank criteria rows are provided for project-specific additions.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</si>
</sst>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1"/>
      <color rgb="FF5B6B7C"/>
      <name val="Calibri"/>
      <family val="0"/>
      <charset val="1"/>
    </font>
    <font>
      <sz val="11"/>
      <color rgb="FF1B2A3D"/>
      <name val="Calibri"/>
      <family val="0"/>
      <charset val="1"/>
    </font>
    <font>
      <b val="true"/>
      <sz val="14"/>
      <color rgb="FF132A4C"/>
      <name val="Calibri"/>
      <family val="0"/>
      <charset val="1"/>
    </font>
    <font>
      <i val="true"/>
      <sz val="10"/>
      <color rgb="FF5B6B7C"/>
      <name val="Calibri"/>
      <family val="0"/>
      <charset val="1"/>
    </font>
    <font>
      <b val="true"/>
      <sz val="11"/>
      <color rgb="FF1B2A3D"/>
      <name val="Calibri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32A4C"/>
        <bgColor rgb="FF1B2A3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  <border diagonalUp="false" diagonalDown="false">
      <left/>
      <right/>
      <top style="double">
        <color rgb="FF132A4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132A4C"/>
      <rgbColor rgb="FF339966"/>
      <rgbColor rgb="FF003300"/>
      <rgbColor rgb="FF333300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4.7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39.75" hidden="false" customHeight="true" outlineLevel="0" collapsed="false">
      <c r="A3" s="3"/>
      <c r="B3" s="3"/>
      <c r="C3" s="3"/>
      <c r="D3" s="3"/>
      <c r="E3" s="3"/>
    </row>
    <row r="4" customFormat="false" ht="39.75" hidden="false" customHeight="true" outlineLevel="0" collapsed="false">
      <c r="A4" s="3"/>
      <c r="B4" s="3"/>
      <c r="C4" s="3"/>
      <c r="D4" s="3"/>
      <c r="E4" s="3"/>
    </row>
    <row r="5" customFormat="false" ht="39.75" hidden="false" customHeight="true" outlineLevel="0" collapsed="false">
      <c r="A5" s="3"/>
      <c r="B5" s="3"/>
      <c r="C5" s="3"/>
      <c r="D5" s="3"/>
      <c r="E5" s="3"/>
    </row>
    <row r="6" customFormat="false" ht="39.75" hidden="false" customHeight="true" outlineLevel="0" collapsed="false">
      <c r="A6" s="3"/>
      <c r="B6" s="3"/>
      <c r="C6" s="3"/>
      <c r="D6" s="3"/>
      <c r="E6" s="3"/>
    </row>
    <row r="7" customFormat="false" ht="39.75" hidden="false" customHeight="true" outlineLevel="0" collapsed="false">
      <c r="A7" s="3"/>
      <c r="B7" s="3"/>
      <c r="C7" s="3"/>
      <c r="D7" s="3"/>
      <c r="E7" s="3"/>
    </row>
    <row r="8" customFormat="false" ht="39.75" hidden="false" customHeight="true" outlineLevel="0" collapsed="false">
      <c r="A8" s="3"/>
      <c r="B8" s="3"/>
      <c r="C8" s="3"/>
      <c r="D8" s="3"/>
      <c r="E8" s="3"/>
    </row>
    <row r="9" customFormat="false" ht="39.75" hidden="false" customHeight="true" outlineLevel="0" collapsed="false">
      <c r="A9" s="3"/>
      <c r="B9" s="3"/>
      <c r="C9" s="3"/>
      <c r="D9" s="3"/>
      <c r="E9" s="3"/>
    </row>
    <row r="10" customFormat="false" ht="39.75" hidden="false" customHeight="true" outlineLevel="0" collapsed="false">
      <c r="A10" s="3"/>
      <c r="B10" s="3"/>
      <c r="C10" s="3"/>
      <c r="D10" s="3"/>
      <c r="E10" s="3"/>
    </row>
    <row r="11" customFormat="false" ht="39.75" hidden="false" customHeight="true" outlineLevel="0" collapsed="false">
      <c r="A11" s="3"/>
      <c r="B11" s="3"/>
      <c r="C11" s="3"/>
      <c r="D11" s="3"/>
      <c r="E11" s="3"/>
    </row>
    <row r="12" customFormat="false" ht="39.75" hidden="false" customHeight="true" outlineLevel="0" collapsed="false">
      <c r="A12" s="3"/>
      <c r="B12" s="3"/>
      <c r="C12" s="3"/>
      <c r="D12" s="3"/>
      <c r="E12" s="3"/>
    </row>
    <row r="13" customFormat="false" ht="39.75" hidden="false" customHeight="true" outlineLevel="0" collapsed="false">
      <c r="A13" s="3"/>
      <c r="B13" s="3"/>
      <c r="C13" s="3"/>
      <c r="D13" s="3"/>
      <c r="E13" s="3"/>
    </row>
    <row r="14" customFormat="false" ht="39.75" hidden="false" customHeight="true" outlineLevel="0" collapsed="false">
      <c r="A14" s="3"/>
      <c r="B14" s="3"/>
      <c r="C14" s="3"/>
      <c r="D14" s="3"/>
      <c r="E14" s="3"/>
    </row>
    <row r="15" customFormat="false" ht="39.75" hidden="false" customHeight="true" outlineLevel="0" collapsed="false">
      <c r="A15" s="3"/>
      <c r="B15" s="3"/>
      <c r="C15" s="3"/>
      <c r="D15" s="3"/>
      <c r="E15" s="3"/>
    </row>
    <row r="16" customFormat="false" ht="39.75" hidden="false" customHeight="true" outlineLevel="0" collapsed="false">
      <c r="A16" s="3"/>
      <c r="B16" s="3"/>
      <c r="C16" s="3"/>
      <c r="D16" s="3"/>
      <c r="E16" s="3"/>
    </row>
    <row r="17" customFormat="false" ht="39.75" hidden="false" customHeight="true" outlineLevel="0" collapsed="false">
      <c r="A17" s="3"/>
      <c r="B17" s="3"/>
      <c r="C17" s="3"/>
      <c r="D17" s="3"/>
      <c r="E17" s="3"/>
    </row>
  </sheetData>
  <dataValidations count="2">
    <dataValidation allowBlank="true" errorStyle="stop" operator="between" showDropDown="false" showErrorMessage="false" showInputMessage="false" sqref="C3:C200" type="list">
      <formula1>"H,M,L"</formula1>
      <formula2>0</formula2>
    </dataValidation>
    <dataValidation allowBlank="true" errorStyle="stop" operator="between" showDropDown="false" showErrorMessage="false" showInputMessage="false" sqref="C2" type="list">
      <formula1>"H,M,L"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4" t="s">
        <v>10</v>
      </c>
    </row>
    <row r="2" customFormat="false" ht="30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4" customFormat="false" ht="39.75" hidden="false" customHeight="true" outlineLevel="0" collapsed="false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customFormat="false" ht="18" hidden="false" customHeight="true" outlineLevel="0" collapsed="false">
      <c r="A5" s="6" t="s">
        <v>20</v>
      </c>
      <c r="B5" s="7" t="n">
        <v>0.2</v>
      </c>
      <c r="C5" s="8" t="n">
        <v>3</v>
      </c>
      <c r="D5" s="9" t="n">
        <f aca="false">C5*$B5</f>
        <v>0.6</v>
      </c>
      <c r="E5" s="8" t="n">
        <v>3</v>
      </c>
      <c r="F5" s="9" t="n">
        <f aca="false">E5*$B5</f>
        <v>0.6</v>
      </c>
      <c r="G5" s="8" t="n">
        <v>3</v>
      </c>
      <c r="H5" s="9" t="n">
        <f aca="false">G5*$B5</f>
        <v>0.6</v>
      </c>
    </row>
    <row r="6" customFormat="false" ht="18" hidden="false" customHeight="true" outlineLevel="0" collapsed="false">
      <c r="A6" s="6" t="s">
        <v>21</v>
      </c>
      <c r="B6" s="7" t="n">
        <v>0.2</v>
      </c>
      <c r="C6" s="8" t="n">
        <v>3</v>
      </c>
      <c r="D6" s="9" t="n">
        <f aca="false">C6*$B6</f>
        <v>0.6</v>
      </c>
      <c r="E6" s="8" t="n">
        <v>3</v>
      </c>
      <c r="F6" s="9" t="n">
        <f aca="false">E6*$B6</f>
        <v>0.6</v>
      </c>
      <c r="G6" s="8" t="n">
        <v>3</v>
      </c>
      <c r="H6" s="9" t="n">
        <f aca="false">G6*$B6</f>
        <v>0.6</v>
      </c>
    </row>
    <row r="7" customFormat="false" ht="18" hidden="false" customHeight="true" outlineLevel="0" collapsed="false">
      <c r="A7" s="6" t="s">
        <v>22</v>
      </c>
      <c r="B7" s="7" t="n">
        <v>0.2</v>
      </c>
      <c r="C7" s="8" t="n">
        <v>3</v>
      </c>
      <c r="D7" s="9" t="n">
        <f aca="false">C7*$B7</f>
        <v>0.6</v>
      </c>
      <c r="E7" s="8" t="n">
        <v>3</v>
      </c>
      <c r="F7" s="9" t="n">
        <f aca="false">E7*$B7</f>
        <v>0.6</v>
      </c>
      <c r="G7" s="8" t="n">
        <v>3</v>
      </c>
      <c r="H7" s="9" t="n">
        <f aca="false">G7*$B7</f>
        <v>0.6</v>
      </c>
    </row>
    <row r="8" customFormat="false" ht="18" hidden="false" customHeight="true" outlineLevel="0" collapsed="false">
      <c r="A8" s="6" t="s">
        <v>23</v>
      </c>
      <c r="B8" s="7" t="n">
        <v>0.2</v>
      </c>
      <c r="C8" s="8" t="n">
        <v>3</v>
      </c>
      <c r="D8" s="9" t="n">
        <f aca="false">C8*$B8</f>
        <v>0.6</v>
      </c>
      <c r="E8" s="8" t="n">
        <v>3</v>
      </c>
      <c r="F8" s="9" t="n">
        <f aca="false">E8*$B8</f>
        <v>0.6</v>
      </c>
      <c r="G8" s="8" t="n">
        <v>3</v>
      </c>
      <c r="H8" s="9" t="n">
        <f aca="false">G8*$B8</f>
        <v>0.6</v>
      </c>
    </row>
    <row r="9" customFormat="false" ht="18" hidden="false" customHeight="true" outlineLevel="0" collapsed="false">
      <c r="A9" s="6" t="s">
        <v>24</v>
      </c>
      <c r="B9" s="7" t="n">
        <v>0.2</v>
      </c>
      <c r="C9" s="8" t="n">
        <v>3</v>
      </c>
      <c r="D9" s="9" t="n">
        <f aca="false">C9*$B9</f>
        <v>0.6</v>
      </c>
      <c r="E9" s="8" t="n">
        <v>3</v>
      </c>
      <c r="F9" s="9" t="n">
        <f aca="false">E9*$B9</f>
        <v>0.6</v>
      </c>
      <c r="G9" s="8" t="n">
        <v>3</v>
      </c>
      <c r="H9" s="9" t="n">
        <f aca="false">G9*$B9</f>
        <v>0.6</v>
      </c>
    </row>
    <row r="10" customFormat="false" ht="18" hidden="false" customHeight="true" outlineLevel="0" collapsed="false">
      <c r="A10" s="10"/>
      <c r="B10" s="7" t="n">
        <v>0</v>
      </c>
      <c r="C10" s="8" t="n">
        <v>3</v>
      </c>
      <c r="D10" s="9" t="n">
        <f aca="false">C10*$B10</f>
        <v>0</v>
      </c>
      <c r="E10" s="8" t="n">
        <v>3</v>
      </c>
      <c r="F10" s="9" t="n">
        <f aca="false">E10*$B10</f>
        <v>0</v>
      </c>
      <c r="G10" s="8" t="n">
        <v>3</v>
      </c>
      <c r="H10" s="9" t="n">
        <f aca="false">G10*$B10</f>
        <v>0</v>
      </c>
    </row>
    <row r="11" customFormat="false" ht="18" hidden="false" customHeight="true" outlineLevel="0" collapsed="false">
      <c r="A11" s="10"/>
      <c r="B11" s="7" t="n">
        <v>0</v>
      </c>
      <c r="C11" s="8" t="n">
        <v>3</v>
      </c>
      <c r="D11" s="9" t="n">
        <f aca="false">C11*$B11</f>
        <v>0</v>
      </c>
      <c r="E11" s="8" t="n">
        <v>3</v>
      </c>
      <c r="F11" s="9" t="n">
        <f aca="false">E11*$B11</f>
        <v>0</v>
      </c>
      <c r="G11" s="8" t="n">
        <v>3</v>
      </c>
      <c r="H11" s="9" t="n">
        <f aca="false">G11*$B11</f>
        <v>0</v>
      </c>
    </row>
    <row r="12" customFormat="false" ht="19.5" hidden="false" customHeight="true" outlineLevel="0" collapsed="false">
      <c r="A12" s="11" t="s">
        <v>25</v>
      </c>
      <c r="B12" s="12" t="n">
        <f aca="false">SUM(B5:B11)</f>
        <v>1</v>
      </c>
      <c r="C12" s="13"/>
      <c r="D12" s="14" t="n">
        <f aca="false">SUM(D5:D11)</f>
        <v>3</v>
      </c>
      <c r="E12" s="13"/>
      <c r="F12" s="14" t="n">
        <f aca="false">SUM(F5:F11)</f>
        <v>3</v>
      </c>
      <c r="G12" s="13"/>
      <c r="H12" s="14" t="n">
        <f aca="false">SUM(H5:H11)</f>
        <v>3</v>
      </c>
    </row>
    <row r="14" customFormat="false" ht="15" hidden="false" customHeight="false" outlineLevel="0" collapsed="false">
      <c r="A14" s="15" t="s">
        <v>26</v>
      </c>
      <c r="B14" s="16" t="str">
        <f aca="false">IF(B12=1,"OK - sums to 100%","CHECK - weights do not sum to 100%")</f>
        <v>OK - sums to 100%</v>
      </c>
      <c r="C14" s="16"/>
      <c r="D14" s="16"/>
      <c r="E14" s="16"/>
    </row>
    <row r="16" customFormat="false" ht="30" hidden="false" customHeight="true" outlineLevel="0" collapsed="false">
      <c r="A16" s="5" t="s">
        <v>27</v>
      </c>
      <c r="B16" s="5"/>
      <c r="C16" s="5"/>
      <c r="D16" s="5"/>
      <c r="E16" s="5"/>
      <c r="F16" s="5"/>
      <c r="G16" s="5"/>
      <c r="H16" s="5"/>
    </row>
  </sheetData>
  <mergeCells count="3">
    <mergeCell ref="A2:H2"/>
    <mergeCell ref="B14:E1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2026-08-11T12:54:38Z</dcterms:created>
  <dc:creator>openpyxl</dc:creator>
  <dc:description/>
  <dc:language>en-US</dc:language>
  <cp:lastModifiedBy/>
  <dcterms:modified xsi:type="dcterms:W3CDTF">2026-08-11T12:54:38Z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